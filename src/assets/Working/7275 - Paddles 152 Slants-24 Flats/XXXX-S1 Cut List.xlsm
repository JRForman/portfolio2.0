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5580" windowWidth="23085" windowHeight="5610" tabRatio="701"/>
  </bookViews>
  <sheets>
    <sheet name="Material" sheetId="6" r:id="rId1"/>
  </sheets>
  <functionGroups/>
  <definedNames>
    <definedName name="asdf">INDEX(#REF!, ROW(#REF!)+1):INDEX(#REF!, MATCH(conBig,#REF!))</definedName>
    <definedName name="conBig">9.99999999999999E+307</definedName>
    <definedName name="conEF">"http://www.excelforum.com/forum/showthread.php?t="</definedName>
    <definedName name="conMrE">"http://www.mrexcel.com/forum/showthread.php?t="</definedName>
    <definedName name="conOrd">"thstndrdthththththththththththththththththstndrdthththththththstndrdthththththththstndrdthththththththstndrdthththththththstndrdthththththththstndrdthththththththstndrdthththththththstndrdthththththth"</definedName>
    <definedName name="conZzz">"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ž"</definedName>
    <definedName name="Me" localSheetId="0">Material!A1</definedName>
    <definedName name="_xlnm.Print_Area" localSheetId="0">Material!$A$1:$R$29</definedName>
    <definedName name="_xlnm.Print_Titles" localSheetId="0">Material!$B:$F,Material!$11:$12</definedName>
    <definedName name="ptrKerf" localSheetId="0">Material!$E$2</definedName>
    <definedName name="ptrStk" localSheetId="0">Material!$E$3</definedName>
    <definedName name="ptrUsed" localSheetId="0">Material!$E$5</definedName>
    <definedName name="rgnInp" localSheetId="0">INDEX(Material!$D:$D, ROW(Material!$D$12)+1):INDEX(Material!$E:$E, MATCH(conBig, Material!$D:$D))</definedName>
    <definedName name="rgnInp">INDEX(#REF!, ROW(#REF!)+1):INDEX(#REF!, MATCH(conBig,#REF!))</definedName>
    <definedName name="rgnLen" localSheetId="0">INDEX(Material!rgnInp, 0, 1)</definedName>
    <definedName name="rgnNeed">INDEX(#REF!, ROW(#REF!)+2):INDEX(#REF!, MATCH(conBig,#REF!))</definedName>
    <definedName name="rgnQty" localSheetId="0">INDEX(Material!rgnInp, 0, 2)</definedName>
    <definedName name="Stuff">#REF!</definedName>
    <definedName name="vbLf">CHAR(10)</definedName>
  </definedNames>
  <calcPr calcId="125725"/>
</workbook>
</file>

<file path=xl/calcChain.xml><?xml version="1.0" encoding="utf-8"?>
<calcChain xmlns="http://schemas.openxmlformats.org/spreadsheetml/2006/main">
  <c r="F13" i="6"/>
  <c r="F14"/>
  <c r="G12"/>
  <c r="E4" l="1"/>
  <c r="E11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E5" l="1"/>
  <c r="E6" s="1"/>
</calcChain>
</file>

<file path=xl/comments1.xml><?xml version="1.0" encoding="utf-8"?>
<comments xmlns="http://schemas.openxmlformats.org/spreadsheetml/2006/main">
  <authors>
    <author>Author</author>
  </authors>
  <commentList>
    <comment ref="E12" authorId="0">
      <text>
        <r>
          <rPr>
            <sz val="8"/>
            <color indexed="81"/>
            <rFont val="Tahoma"/>
            <family val="2"/>
          </rPr>
          <t>Positive whole numbers</t>
        </r>
      </text>
    </comment>
  </commentList>
</comments>
</file>

<file path=xl/sharedStrings.xml><?xml version="1.0" encoding="utf-8"?>
<sst xmlns="http://schemas.openxmlformats.org/spreadsheetml/2006/main" count="14" uniqueCount="14">
  <si>
    <t>Length</t>
  </si>
  <si>
    <t>Kerf</t>
  </si>
  <si>
    <t>Qty</t>
  </si>
  <si>
    <t>Item</t>
  </si>
  <si>
    <t>Efficiency</t>
  </si>
  <si>
    <t>Stock Req'd</t>
  </si>
  <si>
    <t>Stock Used</t>
  </si>
  <si>
    <t>Cut\Scrap</t>
  </si>
  <si>
    <t>Stock #</t>
  </si>
  <si>
    <t>P/N or Desc</t>
  </si>
  <si>
    <t>Total Pieces Needed</t>
  </si>
  <si>
    <t>Stock Length</t>
  </si>
  <si>
    <t>Material</t>
  </si>
  <si>
    <t>Job #</t>
  </si>
</sst>
</file>

<file path=xl/styles.xml><?xml version="1.0" encoding="utf-8"?>
<styleSheet xmlns="http://schemas.openxmlformats.org/spreadsheetml/2006/main">
  <numFmts count="9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General_);\-General_);0"/>
    <numFmt numFmtId="165" formatCode="General_)"/>
    <numFmt numFmtId="166" formatCode="0.0%"/>
    <numFmt numFmtId="167" formatCode="General_);;"/>
    <numFmt numFmtId="168" formatCode="0.0"/>
  </numFmts>
  <fonts count="24">
    <font>
      <sz val="9"/>
      <name val="Calibri"/>
      <family val="2"/>
    </font>
    <font>
      <sz val="11"/>
      <color theme="1"/>
      <name val="Calibri"/>
      <family val="2"/>
      <scheme val="minor"/>
    </font>
    <font>
      <sz val="8"/>
      <name val="Tahoma"/>
      <family val="2"/>
    </font>
    <font>
      <sz val="9"/>
      <name val="Calibri"/>
      <family val="2"/>
    </font>
    <font>
      <sz val="8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9"/>
      <name val="Calibri"/>
      <family val="2"/>
      <scheme val="minor"/>
    </font>
    <font>
      <sz val="9"/>
      <color theme="0" tint="-0.34998626667073579"/>
      <name val="Calibri"/>
      <family val="2"/>
    </font>
    <font>
      <b/>
      <i/>
      <sz val="9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E5E5E5"/>
        <bgColor indexed="64"/>
      </patternFill>
    </fill>
    <fill>
      <patternFill patternType="solid">
        <fgColor rgb="FFFFFFFF"/>
        <bgColor indexed="64"/>
      </patternFill>
    </fill>
    <fill>
      <patternFill patternType="lightTrellis">
        <fgColor indexed="63"/>
        <bgColor rgb="FFFFFFFF"/>
      </patternFill>
    </fill>
    <fill>
      <patternFill patternType="solid">
        <fgColor rgb="FFF3F3F3"/>
        <bgColor indexed="64"/>
      </patternFill>
    </fill>
    <fill>
      <patternFill patternType="solid">
        <fgColor rgb="FF909090"/>
        <bgColor indexed="64"/>
      </patternFill>
    </fill>
    <fill>
      <patternFill patternType="solid">
        <fgColor rgb="FFFFFFFF"/>
        <bgColor auto="1"/>
      </patternFill>
    </fill>
    <fill>
      <patternFill patternType="lightHorizontal">
        <fgColor indexed="55"/>
        <bgColor auto="1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7">
    <xf numFmtId="0" fontId="0" fillId="42" borderId="0">
      <alignment vertical="top"/>
    </xf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7" fillId="27" borderId="0" applyNumberFormat="0" applyBorder="0" applyAlignment="0" applyProtection="0"/>
    <xf numFmtId="0" fontId="8" fillId="28" borderId="3" applyNumberFormat="0" applyAlignment="0" applyProtection="0"/>
    <xf numFmtId="0" fontId="9" fillId="29" borderId="4" applyNumberFormat="0" applyAlignment="0" applyProtection="0"/>
    <xf numFmtId="0" fontId="3" fillId="39" borderId="0" applyNumberFormat="0" applyBorder="0" applyAlignment="0">
      <alignment vertical="top"/>
      <protection locked="0"/>
    </xf>
    <xf numFmtId="43" fontId="3" fillId="34" borderId="0" applyFont="0" applyFill="0" applyBorder="0" applyAlignment="0" applyProtection="0"/>
    <xf numFmtId="44" fontId="3" fillId="34" borderId="0" applyFont="0" applyFill="0" applyBorder="0" applyAlignment="0" applyProtection="0"/>
    <xf numFmtId="0" fontId="10" fillId="0" borderId="0" applyNumberFormat="0" applyFill="0" applyBorder="0" applyAlignment="0" applyProtection="0"/>
    <xf numFmtId="0" fontId="3" fillId="33" borderId="18" applyNumberFormat="0" applyFont="0" applyAlignment="0">
      <alignment vertical="top"/>
    </xf>
    <xf numFmtId="0" fontId="11" fillId="30" borderId="0" applyNumberFormat="0" applyBorder="0" applyAlignment="0" applyProtection="0"/>
    <xf numFmtId="0" fontId="12" fillId="0" borderId="5" applyNumberFormat="0" applyFill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4" fillId="0" borderId="0" applyNumberFormat="0" applyFill="0" applyBorder="0" applyAlignment="0" applyProtection="0"/>
    <xf numFmtId="0" fontId="3" fillId="0" borderId="0" applyNumberFormat="0" applyFont="0" applyAlignment="0">
      <alignment vertical="top"/>
      <protection locked="0"/>
    </xf>
    <xf numFmtId="0" fontId="2" fillId="36" borderId="1">
      <alignment horizontal="center" vertical="center" wrapText="1"/>
    </xf>
    <xf numFmtId="0" fontId="2" fillId="36" borderId="1" applyNumberFormat="0">
      <alignment horizontal="centerContinuous" vertical="center" wrapText="1"/>
    </xf>
    <xf numFmtId="0" fontId="15" fillId="0" borderId="8" applyNumberFormat="0" applyFill="0" applyAlignment="0" applyProtection="0"/>
    <xf numFmtId="0" fontId="16" fillId="31" borderId="0" applyNumberFormat="0" applyBorder="0" applyAlignment="0" applyProtection="0"/>
    <xf numFmtId="0" fontId="3" fillId="32" borderId="9" applyNumberFormat="0" applyFont="0" applyAlignment="0" applyProtection="0"/>
    <xf numFmtId="0" fontId="17" fillId="28" borderId="10" applyNumberFormat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0" borderId="0" applyNumberFormat="0" applyFill="0" applyBorder="0" applyAlignment="0" applyProtection="0"/>
    <xf numFmtId="0" fontId="3" fillId="35" borderId="0" applyNumberFormat="0" applyFont="0" applyBorder="0" applyAlignment="0">
      <alignment vertical="top"/>
      <protection locked="0"/>
    </xf>
    <xf numFmtId="0" fontId="21" fillId="37" borderId="0" applyNumberFormat="0" applyBorder="0">
      <alignment vertical="center"/>
    </xf>
    <xf numFmtId="9" fontId="3" fillId="34" borderId="0" applyFont="0" applyFill="0" applyBorder="0" applyAlignment="0" applyProtection="0"/>
    <xf numFmtId="41" fontId="3" fillId="34" borderId="0" applyFont="0" applyFill="0" applyBorder="0" applyAlignment="0" applyProtection="0"/>
    <xf numFmtId="42" fontId="3" fillId="34" borderId="0" applyFont="0" applyFill="0" applyBorder="0" applyAlignment="0" applyProtection="0"/>
    <xf numFmtId="0" fontId="22" fillId="34" borderId="0" applyNumberFormat="0" applyFill="0" applyBorder="0" applyAlignment="0">
      <alignment vertical="top"/>
    </xf>
    <xf numFmtId="0" fontId="23" fillId="38" borderId="0" applyNumberFormat="0" applyBorder="0" applyAlignment="0">
      <alignment vertical="top"/>
      <protection locked="0"/>
    </xf>
    <xf numFmtId="0" fontId="2" fillId="42" borderId="1">
      <alignment horizontal="center" vertical="center" wrapText="1"/>
    </xf>
    <xf numFmtId="0" fontId="1" fillId="0" borderId="0"/>
  </cellStyleXfs>
  <cellXfs count="30">
    <xf numFmtId="0" fontId="0" fillId="42" borderId="0" xfId="0">
      <alignment vertical="top"/>
    </xf>
    <xf numFmtId="0" fontId="2" fillId="36" borderId="2" xfId="39" applyBorder="1">
      <alignment horizontal="center" vertical="center" wrapText="1"/>
    </xf>
    <xf numFmtId="165" fontId="3" fillId="33" borderId="14" xfId="32" applyNumberFormat="1" applyFont="1" applyBorder="1" applyAlignment="1">
      <alignment vertical="top"/>
    </xf>
    <xf numFmtId="0" fontId="0" fillId="42" borderId="0" xfId="0">
      <alignment vertical="top"/>
    </xf>
    <xf numFmtId="166" fontId="2" fillId="2" borderId="13" xfId="50" applyNumberFormat="1" applyFont="1" applyFill="1" applyBorder="1" applyAlignment="1">
      <alignment horizontal="right" vertical="center" indent="1"/>
    </xf>
    <xf numFmtId="164" fontId="3" fillId="33" borderId="14" xfId="32" applyNumberFormat="1" applyBorder="1">
      <alignment vertical="top"/>
    </xf>
    <xf numFmtId="37" fontId="3" fillId="0" borderId="0" xfId="38" applyNumberFormat="1" applyBorder="1">
      <alignment vertical="top"/>
      <protection locked="0"/>
    </xf>
    <xf numFmtId="37" fontId="3" fillId="33" borderId="16" xfId="32" applyNumberFormat="1" applyBorder="1">
      <alignment vertical="top"/>
    </xf>
    <xf numFmtId="37" fontId="3" fillId="33" borderId="15" xfId="32" applyNumberFormat="1" applyBorder="1">
      <alignment vertical="top"/>
    </xf>
    <xf numFmtId="165" fontId="3" fillId="0" borderId="0" xfId="29" applyNumberFormat="1" applyFont="1" applyFill="1" applyBorder="1" applyAlignment="1" applyProtection="1">
      <alignment vertical="top"/>
      <protection locked="0"/>
    </xf>
    <xf numFmtId="37" fontId="3" fillId="33" borderId="17" xfId="32" applyNumberFormat="1" applyFont="1" applyBorder="1">
      <alignment vertical="top"/>
    </xf>
    <xf numFmtId="0" fontId="2" fillId="36" borderId="13" xfId="39" applyBorder="1">
      <alignment horizontal="center" vertical="center" wrapText="1"/>
    </xf>
    <xf numFmtId="166" fontId="2" fillId="2" borderId="12" xfId="50" applyNumberFormat="1" applyFont="1" applyFill="1" applyBorder="1" applyAlignment="1">
      <alignment horizontal="right" vertical="center" indent="1"/>
    </xf>
    <xf numFmtId="165" fontId="3" fillId="0" borderId="14" xfId="38" applyNumberFormat="1" applyFont="1" applyBorder="1" applyAlignment="1">
      <alignment vertical="top"/>
      <protection locked="0"/>
    </xf>
    <xf numFmtId="37" fontId="3" fillId="33" borderId="1" xfId="32" applyNumberFormat="1" applyFont="1" applyBorder="1">
      <alignment vertical="top"/>
    </xf>
    <xf numFmtId="0" fontId="0" fillId="0" borderId="0" xfId="0" applyFill="1" applyAlignment="1"/>
    <xf numFmtId="0" fontId="0" fillId="0" borderId="0" xfId="0" applyFill="1" applyBorder="1" applyAlignment="1"/>
    <xf numFmtId="9" fontId="3" fillId="33" borderId="14" xfId="50" applyFont="1" applyFill="1" applyBorder="1" applyAlignment="1">
      <alignment vertical="top"/>
    </xf>
    <xf numFmtId="0" fontId="2" fillId="40" borderId="13" xfId="39" applyFill="1" applyBorder="1" applyAlignment="1">
      <alignment horizontal="right" vertical="center" indent="1"/>
    </xf>
    <xf numFmtId="0" fontId="2" fillId="40" borderId="12" xfId="39" applyFill="1" applyBorder="1" applyAlignment="1">
      <alignment horizontal="right" vertical="center" indent="1"/>
    </xf>
    <xf numFmtId="166" fontId="0" fillId="41" borderId="14" xfId="50" applyNumberFormat="1" applyFont="1" applyFill="1" applyBorder="1" applyAlignment="1">
      <alignment horizontal="right" vertical="top"/>
    </xf>
    <xf numFmtId="0" fontId="0" fillId="41" borderId="14" xfId="50" applyNumberFormat="1" applyFont="1" applyFill="1" applyBorder="1" applyAlignment="1">
      <alignment horizontal="right" vertical="center"/>
    </xf>
    <xf numFmtId="0" fontId="0" fillId="42" borderId="1" xfId="0" applyBorder="1" applyAlignment="1"/>
    <xf numFmtId="37" fontId="3" fillId="33" borderId="0" xfId="32" applyNumberFormat="1" applyFont="1" applyBorder="1">
      <alignment vertical="top"/>
    </xf>
    <xf numFmtId="167" fontId="2" fillId="42" borderId="18" xfId="55" applyNumberFormat="1" applyBorder="1">
      <alignment horizontal="center" vertical="center" wrapText="1"/>
    </xf>
    <xf numFmtId="0" fontId="0" fillId="33" borderId="18" xfId="32" applyFont="1">
      <alignment vertical="top"/>
    </xf>
    <xf numFmtId="168" fontId="2" fillId="36" borderId="18" xfId="39" applyNumberFormat="1" applyBorder="1">
      <alignment horizontal="center" vertical="center" wrapText="1"/>
    </xf>
    <xf numFmtId="0" fontId="2" fillId="36" borderId="1" xfId="39">
      <alignment horizontal="center" vertical="center" wrapText="1"/>
    </xf>
    <xf numFmtId="0" fontId="2" fillId="36" borderId="13" xfId="39" applyBorder="1" applyAlignment="1">
      <alignment horizontal="right" vertical="center" indent="1"/>
    </xf>
    <xf numFmtId="0" fontId="2" fillId="36" borderId="12" xfId="39" applyBorder="1" applyAlignment="1">
      <alignment horizontal="right" vertical="center" indent="1"/>
    </xf>
  </cellXfs>
  <cellStyles count="57">
    <cellStyle name="20% - Accent1" xfId="1" builtinId="30" hidden="1"/>
    <cellStyle name="20% - Accent2" xfId="2" builtinId="34" hidden="1"/>
    <cellStyle name="20% - Accent3" xfId="3" builtinId="38" hidden="1"/>
    <cellStyle name="20% - Accent4" xfId="4" builtinId="42" hidden="1"/>
    <cellStyle name="20% - Accent5" xfId="5" builtinId="46" hidden="1"/>
    <cellStyle name="20% - Accent6" xfId="6" builtinId="50" hidden="1"/>
    <cellStyle name="40% - Accent1" xfId="7" builtinId="31" hidden="1"/>
    <cellStyle name="40% - Accent2" xfId="8" builtinId="35" hidden="1"/>
    <cellStyle name="40% - Accent3" xfId="9" builtinId="39" hidden="1"/>
    <cellStyle name="40% - Accent4" xfId="10" builtinId="43" hidden="1"/>
    <cellStyle name="40% - Accent5" xfId="11" builtinId="47" hidden="1"/>
    <cellStyle name="40% - Accent6" xfId="12" builtinId="51" hidden="1"/>
    <cellStyle name="60% - Accent1" xfId="13" builtinId="32" hidden="1"/>
    <cellStyle name="60% - Accent2" xfId="14" builtinId="36" hidden="1"/>
    <cellStyle name="60% - Accent3" xfId="15" builtinId="40" hidden="1"/>
    <cellStyle name="60% - Accent4" xfId="16" builtinId="44" hidden="1"/>
    <cellStyle name="60% - Accent5" xfId="17" builtinId="48" hidden="1"/>
    <cellStyle name="60% - Accent6" xfId="18" builtinId="52" hidden="1"/>
    <cellStyle name="Accent1" xfId="19" builtinId="29" hidden="1"/>
    <cellStyle name="Accent2" xfId="20" builtinId="33" hidden="1"/>
    <cellStyle name="Accent3" xfId="21" builtinId="37" hidden="1"/>
    <cellStyle name="Accent4" xfId="22" builtinId="41" hidden="1"/>
    <cellStyle name="Accent5" xfId="23" builtinId="45" hidden="1"/>
    <cellStyle name="Accent6" xfId="24" builtinId="49" hidden="1"/>
    <cellStyle name="Bad" xfId="25" builtinId="27" hidden="1"/>
    <cellStyle name="Calculation" xfId="26" builtinId="22" hidden="1"/>
    <cellStyle name="Check Cell" xfId="27" builtinId="23" hidden="1"/>
    <cellStyle name="Code" xfId="28"/>
    <cellStyle name="Comma" xfId="29" builtinId="3" customBuiltin="1"/>
    <cellStyle name="Comma [0]" xfId="51" builtinId="6" customBuiltin="1"/>
    <cellStyle name="Currency" xfId="30" builtinId="4" customBuiltin="1"/>
    <cellStyle name="Currency [0]" xfId="52" builtinId="7" customBuiltin="1"/>
    <cellStyle name="DoNotUse" xfId="48"/>
    <cellStyle name="Explanatory Text" xfId="31" builtinId="53" hidden="1"/>
    <cellStyle name="Formula" xfId="32"/>
    <cellStyle name="Good" xfId="33" builtinId="26" hidden="1"/>
    <cellStyle name="Heading 1" xfId="34" builtinId="16" hidden="1"/>
    <cellStyle name="Heading 2" xfId="35" builtinId="17" hidden="1"/>
    <cellStyle name="Heading 3" xfId="36" builtinId="18" hidden="1"/>
    <cellStyle name="Heading 4" xfId="37" builtinId="19" hidden="1"/>
    <cellStyle name="Input" xfId="38" builtinId="20" customBuiltin="1"/>
    <cellStyle name="Label" xfId="39"/>
    <cellStyle name="LabelCtrAcr" xfId="40"/>
    <cellStyle name="Linked Cell" xfId="41" builtinId="24" hidden="1"/>
    <cellStyle name="Model" xfId="53"/>
    <cellStyle name="Neutral" xfId="42" builtinId="28" hidden="1"/>
    <cellStyle name="Normal" xfId="0" builtinId="0" customBuiltin="1"/>
    <cellStyle name="Normal 2" xfId="56"/>
    <cellStyle name="Note" xfId="43" builtinId="10" hidden="1"/>
    <cellStyle name="Output" xfId="44" builtinId="21" hidden="1"/>
    <cellStyle name="Output" xfId="55"/>
    <cellStyle name="Percent" xfId="50" builtinId="5" customBuiltin="1"/>
    <cellStyle name="Remark" xfId="49"/>
    <cellStyle name="Title" xfId="45" builtinId="15" hidden="1"/>
    <cellStyle name="Total" xfId="46" builtinId="25" hidden="1"/>
    <cellStyle name="Validated" xfId="54"/>
    <cellStyle name="Warning Text" xfId="47" builtinId="11" hidden="1"/>
  </cellStyles>
  <dxfs count="3"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F3F3F3"/>
      <rgbColor rgb="00DCDCDC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E7E7E7"/>
      <rgbColor rgb="00003366"/>
      <rgbColor rgb="00339966"/>
      <rgbColor rgb="00003300"/>
      <rgbColor rgb="00333300"/>
      <rgbColor rgb="00993300"/>
      <rgbColor rgb="00993366"/>
      <rgbColor rgb="00333399"/>
      <rgbColor rgb="00909090"/>
    </indexedColors>
    <mruColors>
      <color rgb="FFFFFF99"/>
      <color rgb="FF006600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38418</xdr:colOff>
      <xdr:row>7</xdr:row>
      <xdr:rowOff>60935</xdr:rowOff>
    </xdr:from>
    <xdr:ext cx="555622" cy="190549"/>
    <xdr:sp macro="[0]!CutEm" textlink="">
      <xdr:nvSpPr>
        <xdr:cNvPr id="2" name="Rounded Rectangle 1"/>
        <xdr:cNvSpPr/>
      </xdr:nvSpPr>
      <xdr:spPr>
        <a:xfrm>
          <a:off x="533718" y="1127735"/>
          <a:ext cx="555622" cy="190549"/>
        </a:xfrm>
        <a:prstGeom prst="roundRect">
          <a:avLst/>
        </a:prstGeom>
        <a:solidFill>
          <a:srgbClr val="0070C0"/>
        </a:solidFill>
        <a:ln w="12700"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45720" tIns="0" rIns="45720" bIns="0" rtlCol="0" anchor="ctr">
          <a:spAutoFit/>
        </a:bodyPr>
        <a:lstStyle/>
        <a:p>
          <a:pPr algn="ctr"/>
          <a:r>
            <a:rPr lang="en-US" sz="1100" b="0">
              <a:solidFill>
                <a:schemeClr val="bg1"/>
              </a:solidFill>
              <a:latin typeface="+mn-lt"/>
              <a:ea typeface="+mn-ea"/>
              <a:cs typeface="+mn-cs"/>
            </a:rPr>
            <a:t>Cut</a:t>
          </a:r>
          <a:r>
            <a:rPr lang="en-US" sz="1100" b="0"/>
            <a:t> 'Em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Inp2"/>
  <dimension ref="A2:G63"/>
  <sheetViews>
    <sheetView tabSelected="1" zoomScaleNormal="100" workbookViewId="0">
      <pane xSplit="6" ySplit="12" topLeftCell="G13" activePane="bottomRight" state="frozen"/>
      <selection pane="topRight" activeCell="F1" sqref="F1"/>
      <selection pane="bottomLeft" activeCell="A11" sqref="A11"/>
      <selection pane="bottomRight" activeCell="B9" sqref="B9"/>
    </sheetView>
  </sheetViews>
  <sheetFormatPr defaultColWidth="8.6640625" defaultRowHeight="12"/>
  <cols>
    <col min="1" max="1" width="2.6640625" style="3" customWidth="1"/>
    <col min="2" max="2" width="8.1640625" style="3" bestFit="1" customWidth="1"/>
    <col min="3" max="3" width="16.6640625" style="3" customWidth="1"/>
    <col min="4" max="4" width="7.6640625" style="3" customWidth="1"/>
    <col min="5" max="5" width="11.5" style="3" customWidth="1"/>
    <col min="6" max="6" width="11" style="3" customWidth="1"/>
    <col min="7" max="7" width="3.83203125" bestFit="1" customWidth="1"/>
    <col min="8" max="8" width="5.83203125" bestFit="1" customWidth="1"/>
    <col min="9" max="10" width="4.83203125" bestFit="1" customWidth="1"/>
    <col min="11" max="11" width="3.83203125" bestFit="1" customWidth="1"/>
    <col min="12" max="13" width="4.83203125" bestFit="1" customWidth="1"/>
    <col min="14" max="14" width="4.6640625" bestFit="1" customWidth="1"/>
    <col min="15" max="15" width="5.6640625" bestFit="1" customWidth="1"/>
    <col min="16" max="27" width="3.6640625" bestFit="1" customWidth="1"/>
    <col min="28" max="28" width="3.83203125" bestFit="1" customWidth="1"/>
    <col min="29" max="31" width="3.6640625" bestFit="1" customWidth="1"/>
    <col min="32" max="32" width="3.83203125" bestFit="1" customWidth="1"/>
    <col min="33" max="38" width="3.6640625" bestFit="1" customWidth="1"/>
    <col min="39" max="39" width="3.83203125" bestFit="1" customWidth="1"/>
    <col min="40" max="40" width="3.6640625" bestFit="1" customWidth="1"/>
    <col min="41" max="41" width="3.83203125" bestFit="1" customWidth="1"/>
    <col min="42" max="42" width="3.6640625" bestFit="1" customWidth="1"/>
    <col min="43" max="43" width="3.83203125" bestFit="1" customWidth="1"/>
    <col min="44" max="44" width="3.6640625" bestFit="1" customWidth="1"/>
    <col min="45" max="45" width="4.6640625" bestFit="1" customWidth="1"/>
    <col min="46" max="46" width="5.6640625" customWidth="1"/>
    <col min="47" max="55" width="4.6640625" customWidth="1"/>
    <col min="56" max="57" width="5.5" bestFit="1" customWidth="1"/>
    <col min="58" max="58" width="3.5" bestFit="1" customWidth="1"/>
    <col min="59" max="60" width="4.5" bestFit="1" customWidth="1"/>
    <col min="61" max="61" width="3.5" bestFit="1" customWidth="1"/>
    <col min="62" max="96" width="4.5" bestFit="1" customWidth="1"/>
    <col min="97" max="97" width="3.5" bestFit="1" customWidth="1"/>
    <col min="98" max="100" width="4.5" bestFit="1" customWidth="1"/>
    <col min="101" max="103" width="3.5" bestFit="1" customWidth="1"/>
    <col min="104" max="157" width="4.5" bestFit="1" customWidth="1"/>
    <col min="158" max="158" width="5.5" bestFit="1" customWidth="1"/>
    <col min="159" max="209" width="4" bestFit="1" customWidth="1"/>
    <col min="210" max="239" width="4.5" bestFit="1" customWidth="1"/>
    <col min="240" max="240" width="5.5" bestFit="1" customWidth="1"/>
  </cols>
  <sheetData>
    <row r="2" spans="2:7" ht="12" customHeight="1">
      <c r="C2" s="28" t="s">
        <v>1</v>
      </c>
      <c r="D2" s="29"/>
      <c r="E2" s="13">
        <v>0.125</v>
      </c>
    </row>
    <row r="3" spans="2:7" ht="12" customHeight="1">
      <c r="C3" s="28" t="s">
        <v>11</v>
      </c>
      <c r="D3" s="29"/>
      <c r="E3" s="13">
        <v>240</v>
      </c>
    </row>
    <row r="4" spans="2:7" ht="12" customHeight="1">
      <c r="C4" s="28" t="s">
        <v>5</v>
      </c>
      <c r="D4" s="29"/>
      <c r="E4" s="2">
        <f>SUMPRODUCT(rgnLen, rgnQty)</f>
        <v>1</v>
      </c>
    </row>
    <row r="5" spans="2:7" ht="12" customHeight="1">
      <c r="C5" s="28" t="s">
        <v>6</v>
      </c>
      <c r="D5" s="29"/>
      <c r="E5" s="2">
        <f>INDEX(11:11, MATCH(conBig,11:11 )) * ptrStk</f>
        <v>240</v>
      </c>
    </row>
    <row r="6" spans="2:7" ht="12" customHeight="1">
      <c r="C6" s="28" t="s">
        <v>4</v>
      </c>
      <c r="D6" s="29"/>
      <c r="E6" s="17">
        <f>E4/ptrUsed</f>
        <v>4.1666666666666666E-3</v>
      </c>
    </row>
    <row r="7" spans="2:7" ht="12" customHeight="1">
      <c r="C7" s="18"/>
      <c r="D7" s="19" t="s">
        <v>13</v>
      </c>
      <c r="E7" s="21"/>
    </row>
    <row r="8" spans="2:7" ht="12" customHeight="1">
      <c r="C8" s="18"/>
      <c r="D8" s="19" t="s">
        <v>12</v>
      </c>
      <c r="E8" s="20"/>
    </row>
    <row r="11" spans="2:7">
      <c r="B11" s="27" t="s">
        <v>3</v>
      </c>
      <c r="C11" s="11"/>
      <c r="D11" s="12" t="s">
        <v>10</v>
      </c>
      <c r="E11" s="5">
        <f>SUM(INDEX(rgnInp, 0, 2))</f>
        <v>1</v>
      </c>
      <c r="F11" s="4" t="s">
        <v>8</v>
      </c>
      <c r="G11" s="25">
        <v>1</v>
      </c>
    </row>
    <row r="12" spans="2:7">
      <c r="B12" s="27"/>
      <c r="C12" s="1" t="s">
        <v>9</v>
      </c>
      <c r="D12" s="1" t="s">
        <v>0</v>
      </c>
      <c r="E12" s="1" t="s">
        <v>2</v>
      </c>
      <c r="F12" s="1" t="s">
        <v>7</v>
      </c>
      <c r="G12" s="26" t="e">
        <f>MAX(0, ptrStk - SUMPRODUCT(G13:G14, rgnLen + ptrKerf))</f>
        <v>#VALUE!</v>
      </c>
    </row>
    <row r="13" spans="2:7">
      <c r="B13" s="7">
        <f>ROWS(B$12:B13)-1</f>
        <v>1</v>
      </c>
      <c r="C13" s="22"/>
      <c r="D13" s="22">
        <v>1</v>
      </c>
      <c r="E13" s="22">
        <v>1</v>
      </c>
      <c r="F13" s="14">
        <f t="shared" ref="F13:F14" si="0">SUM(G13:G13)</f>
        <v>10</v>
      </c>
      <c r="G13" s="24">
        <v>10</v>
      </c>
    </row>
    <row r="14" spans="2:7" ht="11.45" customHeight="1">
      <c r="B14" s="8">
        <f>ROWS(B$12:B14)-1</f>
        <v>2</v>
      </c>
      <c r="C14" s="22"/>
      <c r="D14" s="22"/>
      <c r="E14" s="22"/>
      <c r="F14" s="14">
        <f t="shared" si="0"/>
        <v>10</v>
      </c>
      <c r="G14" s="24">
        <v>10</v>
      </c>
    </row>
    <row r="15" spans="2:7" ht="11.45" customHeight="1">
      <c r="B15" s="8">
        <f>ROWS(B$12:B15)-1</f>
        <v>3</v>
      </c>
      <c r="C15" s="22"/>
      <c r="D15" s="22"/>
      <c r="E15" s="22"/>
      <c r="F15" s="14"/>
    </row>
    <row r="16" spans="2:7">
      <c r="B16" s="8">
        <f>ROWS(B$12:B16)-1</f>
        <v>4</v>
      </c>
      <c r="C16" s="22"/>
      <c r="D16" s="22"/>
      <c r="E16" s="22"/>
      <c r="F16" s="14"/>
    </row>
    <row r="17" spans="2:6">
      <c r="B17" s="8">
        <f>ROWS(B$12:B17)-1</f>
        <v>5</v>
      </c>
      <c r="C17" s="22"/>
      <c r="D17" s="22"/>
      <c r="E17" s="22"/>
      <c r="F17" s="14"/>
    </row>
    <row r="18" spans="2:6">
      <c r="B18" s="8">
        <f>ROWS(B$12:B18)-1</f>
        <v>6</v>
      </c>
      <c r="C18" s="22"/>
      <c r="D18" s="22"/>
      <c r="E18" s="22"/>
      <c r="F18" s="14"/>
    </row>
    <row r="19" spans="2:6">
      <c r="B19" s="8">
        <f>ROWS(B$12:B19)-1</f>
        <v>7</v>
      </c>
      <c r="C19" s="22"/>
      <c r="D19" s="22"/>
      <c r="E19" s="22"/>
      <c r="F19" s="14"/>
    </row>
    <row r="20" spans="2:6">
      <c r="B20" s="8">
        <f>ROWS(B$12:B20)-1</f>
        <v>8</v>
      </c>
      <c r="C20" s="22"/>
      <c r="D20" s="22"/>
      <c r="E20" s="22"/>
      <c r="F20" s="14"/>
    </row>
    <row r="21" spans="2:6">
      <c r="B21" s="8">
        <f>ROWS(B$12:B21)-1</f>
        <v>9</v>
      </c>
      <c r="C21" s="16"/>
      <c r="D21" s="16"/>
      <c r="E21" s="16"/>
      <c r="F21" s="23"/>
    </row>
    <row r="22" spans="2:6">
      <c r="B22" s="8">
        <f>ROWS(B$12:B22)-1</f>
        <v>10</v>
      </c>
      <c r="C22" s="15"/>
      <c r="D22" s="15"/>
      <c r="E22" s="15"/>
      <c r="F22" s="23"/>
    </row>
    <row r="23" spans="2:6">
      <c r="B23" s="8">
        <f>ROWS(B$12:B23)-1</f>
        <v>11</v>
      </c>
      <c r="C23" s="15"/>
      <c r="D23" s="15"/>
      <c r="E23" s="15"/>
      <c r="F23" s="23"/>
    </row>
    <row r="24" spans="2:6">
      <c r="B24" s="8">
        <f>ROWS(B$12:B24)-1</f>
        <v>12</v>
      </c>
      <c r="C24" s="15"/>
      <c r="D24" s="15"/>
      <c r="E24" s="15"/>
      <c r="F24" s="23"/>
    </row>
    <row r="25" spans="2:6">
      <c r="B25" s="8">
        <f>ROWS(B$12:B25)-1</f>
        <v>13</v>
      </c>
      <c r="C25" s="15"/>
      <c r="D25" s="15"/>
      <c r="E25" s="15"/>
      <c r="F25" s="23"/>
    </row>
    <row r="26" spans="2:6">
      <c r="B26" s="8">
        <f>ROWS(B$12:B26)-1</f>
        <v>14</v>
      </c>
      <c r="C26" s="15"/>
      <c r="D26" s="15"/>
      <c r="E26" s="15"/>
      <c r="F26" s="23"/>
    </row>
    <row r="27" spans="2:6">
      <c r="B27" s="8">
        <f>ROWS(B$12:B27)-1</f>
        <v>15</v>
      </c>
      <c r="C27" s="15"/>
      <c r="D27" s="15"/>
      <c r="E27" s="15"/>
      <c r="F27" s="23"/>
    </row>
    <row r="28" spans="2:6">
      <c r="B28" s="8">
        <f>ROWS(B$12:B28)-1</f>
        <v>16</v>
      </c>
      <c r="C28" s="15"/>
      <c r="D28" s="15"/>
      <c r="E28" s="15"/>
      <c r="F28" s="23"/>
    </row>
    <row r="29" spans="2:6">
      <c r="B29" s="8">
        <f>ROWS(B$12:B29)-1</f>
        <v>17</v>
      </c>
      <c r="C29" s="15"/>
      <c r="D29" s="15"/>
      <c r="E29" s="15"/>
      <c r="F29" s="23"/>
    </row>
    <row r="30" spans="2:6">
      <c r="B30" s="8">
        <f>ROWS(B$12:B30)-1</f>
        <v>18</v>
      </c>
      <c r="C30" s="15"/>
      <c r="D30" s="15"/>
      <c r="E30" s="15"/>
      <c r="F30" s="23"/>
    </row>
    <row r="31" spans="2:6">
      <c r="B31" s="8">
        <f>ROWS(B$12:B31)-1</f>
        <v>19</v>
      </c>
      <c r="C31" s="15"/>
      <c r="D31" s="15"/>
      <c r="E31" s="15"/>
      <c r="F31" s="23"/>
    </row>
    <row r="32" spans="2:6">
      <c r="B32" s="8">
        <f>ROWS(B$12:B32)-1</f>
        <v>20</v>
      </c>
      <c r="C32" s="15"/>
      <c r="D32" s="15"/>
      <c r="E32" s="15"/>
      <c r="F32" s="23"/>
    </row>
    <row r="33" spans="2:6">
      <c r="B33" s="8">
        <f>ROWS(B$12:B33)-1</f>
        <v>21</v>
      </c>
      <c r="C33" s="15"/>
      <c r="D33" s="15"/>
      <c r="E33" s="15"/>
      <c r="F33" s="23"/>
    </row>
    <row r="34" spans="2:6">
      <c r="B34" s="8">
        <f>ROWS(B$12:B34)-1</f>
        <v>22</v>
      </c>
      <c r="C34" s="15"/>
      <c r="D34" s="15"/>
      <c r="E34" s="15"/>
      <c r="F34" s="23"/>
    </row>
    <row r="35" spans="2:6">
      <c r="B35" s="8">
        <f>ROWS(B$12:B35)-1</f>
        <v>23</v>
      </c>
      <c r="C35" s="15"/>
      <c r="D35" s="15"/>
      <c r="E35" s="15"/>
      <c r="F35" s="23"/>
    </row>
    <row r="36" spans="2:6">
      <c r="B36" s="8">
        <f>ROWS(B$12:B36)-1</f>
        <v>24</v>
      </c>
      <c r="C36" s="15"/>
      <c r="D36" s="15"/>
      <c r="E36" s="15"/>
      <c r="F36" s="23"/>
    </row>
    <row r="37" spans="2:6">
      <c r="B37" s="8">
        <f>ROWS(B$12:B37)-1</f>
        <v>25</v>
      </c>
      <c r="C37" s="15"/>
      <c r="D37" s="15"/>
      <c r="E37" s="15"/>
      <c r="F37" s="23"/>
    </row>
    <row r="38" spans="2:6">
      <c r="B38" s="8">
        <f>ROWS(B$12:B38)-1</f>
        <v>26</v>
      </c>
      <c r="C38" s="15"/>
      <c r="D38" s="15"/>
      <c r="E38" s="15"/>
      <c r="F38" s="23"/>
    </row>
    <row r="39" spans="2:6">
      <c r="B39" s="8">
        <f>ROWS(B$12:B39)-1</f>
        <v>27</v>
      </c>
      <c r="C39" s="15"/>
      <c r="D39" s="15"/>
      <c r="E39" s="15"/>
      <c r="F39" s="23"/>
    </row>
    <row r="40" spans="2:6">
      <c r="B40" s="8">
        <f>ROWS(B$12:B40)-1</f>
        <v>28</v>
      </c>
      <c r="C40" s="15"/>
      <c r="D40" s="15"/>
      <c r="E40" s="15"/>
      <c r="F40" s="23"/>
    </row>
    <row r="41" spans="2:6">
      <c r="B41" s="8">
        <f>ROWS(B$12:B41)-1</f>
        <v>29</v>
      </c>
      <c r="C41" s="15"/>
      <c r="D41" s="15"/>
      <c r="E41" s="15"/>
      <c r="F41" s="23"/>
    </row>
    <row r="42" spans="2:6">
      <c r="B42" s="8">
        <f>ROWS(B$12:B42)-1</f>
        <v>30</v>
      </c>
      <c r="C42" s="6"/>
      <c r="D42" s="9"/>
      <c r="E42" s="9"/>
      <c r="F42" s="23"/>
    </row>
    <row r="43" spans="2:6">
      <c r="B43" s="8">
        <f>ROWS(B$12:B43)-1</f>
        <v>31</v>
      </c>
      <c r="C43" s="6"/>
      <c r="D43" s="9"/>
      <c r="E43" s="9"/>
      <c r="F43" s="10"/>
    </row>
    <row r="44" spans="2:6">
      <c r="B44" s="8">
        <f>ROWS(B$12:B44)-1</f>
        <v>32</v>
      </c>
      <c r="C44" s="6"/>
      <c r="D44" s="9"/>
      <c r="E44" s="9"/>
      <c r="F44" s="10"/>
    </row>
    <row r="45" spans="2:6">
      <c r="B45" s="8">
        <f>ROWS(B$12:B45)-1</f>
        <v>33</v>
      </c>
      <c r="C45" s="6"/>
      <c r="D45" s="9"/>
      <c r="E45" s="9"/>
      <c r="F45" s="10"/>
    </row>
    <row r="46" spans="2:6">
      <c r="B46" s="8">
        <f>ROWS(B$12:B46)-1</f>
        <v>34</v>
      </c>
      <c r="C46" s="6"/>
      <c r="D46" s="9"/>
      <c r="E46" s="9"/>
      <c r="F46" s="10"/>
    </row>
    <row r="47" spans="2:6">
      <c r="B47" s="8">
        <f>ROWS(B$12:B47)-1</f>
        <v>35</v>
      </c>
      <c r="C47" s="6"/>
      <c r="D47" s="9"/>
      <c r="E47" s="9"/>
      <c r="F47" s="10"/>
    </row>
    <row r="48" spans="2:6">
      <c r="B48" s="8">
        <f>ROWS(B$12:B48)-1</f>
        <v>36</v>
      </c>
      <c r="C48" s="6"/>
      <c r="D48" s="9"/>
      <c r="E48" s="9"/>
      <c r="F48" s="10"/>
    </row>
    <row r="49" spans="2:6">
      <c r="B49" s="8">
        <f>ROWS(B$12:B49)-1</f>
        <v>37</v>
      </c>
      <c r="C49" s="6"/>
      <c r="D49" s="9"/>
      <c r="E49" s="9"/>
      <c r="F49" s="10"/>
    </row>
    <row r="50" spans="2:6">
      <c r="B50" s="8">
        <f>ROWS(B$12:B50)-1</f>
        <v>38</v>
      </c>
      <c r="C50" s="6"/>
      <c r="D50" s="9"/>
      <c r="E50" s="9"/>
      <c r="F50" s="10"/>
    </row>
    <row r="51" spans="2:6">
      <c r="B51" s="8">
        <f>ROWS(B$12:B51)-1</f>
        <v>39</v>
      </c>
      <c r="C51" s="6"/>
      <c r="D51" s="9"/>
      <c r="E51" s="9"/>
      <c r="F51" s="10"/>
    </row>
    <row r="52" spans="2:6">
      <c r="B52" s="8">
        <f>ROWS(B$12:B52)-1</f>
        <v>40</v>
      </c>
      <c r="C52" s="6"/>
      <c r="D52" s="9"/>
      <c r="E52" s="9"/>
      <c r="F52" s="10"/>
    </row>
    <row r="53" spans="2:6">
      <c r="B53" s="8">
        <f>ROWS(B$12:B53)-1</f>
        <v>41</v>
      </c>
      <c r="C53" s="6"/>
      <c r="D53" s="9"/>
      <c r="E53" s="9"/>
      <c r="F53" s="10"/>
    </row>
    <row r="54" spans="2:6">
      <c r="B54" s="8">
        <f>ROWS(B$12:B54)-1</f>
        <v>42</v>
      </c>
      <c r="C54" s="6"/>
      <c r="D54" s="9"/>
      <c r="E54" s="9"/>
      <c r="F54" s="10"/>
    </row>
    <row r="55" spans="2:6">
      <c r="B55" s="8">
        <f>ROWS(B$12:B55)-1</f>
        <v>43</v>
      </c>
      <c r="C55" s="6"/>
      <c r="D55" s="9"/>
      <c r="E55" s="9"/>
      <c r="F55" s="10"/>
    </row>
    <row r="56" spans="2:6">
      <c r="B56" s="8">
        <f>ROWS(B$12:B56)-1</f>
        <v>44</v>
      </c>
      <c r="C56" s="6"/>
      <c r="D56" s="9"/>
      <c r="E56" s="9"/>
      <c r="F56" s="10"/>
    </row>
    <row r="57" spans="2:6">
      <c r="B57" s="8">
        <f>ROWS(B$12:B57)-1</f>
        <v>45</v>
      </c>
      <c r="C57" s="6"/>
      <c r="D57" s="9"/>
      <c r="E57" s="9"/>
      <c r="F57" s="10"/>
    </row>
    <row r="58" spans="2:6">
      <c r="B58" s="8">
        <f>ROWS(B$12:B58)-1</f>
        <v>46</v>
      </c>
      <c r="C58" s="6"/>
      <c r="D58" s="9"/>
      <c r="E58" s="9"/>
      <c r="F58" s="10"/>
    </row>
    <row r="59" spans="2:6">
      <c r="B59" s="8">
        <f>ROWS(B$12:B59)-1</f>
        <v>47</v>
      </c>
      <c r="C59" s="6"/>
      <c r="D59" s="9"/>
      <c r="E59" s="9"/>
      <c r="F59" s="10"/>
    </row>
    <row r="60" spans="2:6">
      <c r="B60" s="8">
        <f>ROWS(B$12:B60)-1</f>
        <v>48</v>
      </c>
      <c r="C60" s="6"/>
      <c r="D60" s="9"/>
      <c r="E60" s="9"/>
      <c r="F60" s="10"/>
    </row>
    <row r="61" spans="2:6">
      <c r="B61" s="8">
        <f>ROWS(B$12:B61)-1</f>
        <v>49</v>
      </c>
      <c r="C61" s="6"/>
      <c r="D61" s="9"/>
      <c r="E61" s="9"/>
      <c r="F61" s="10"/>
    </row>
    <row r="62" spans="2:6">
      <c r="B62" s="8">
        <f>ROWS(B$12:B62)-1</f>
        <v>50</v>
      </c>
      <c r="C62" s="6"/>
      <c r="D62" s="9"/>
      <c r="E62" s="9"/>
      <c r="F62" s="10"/>
    </row>
    <row r="63" spans="2:6">
      <c r="B63" s="8">
        <f>ROWS(B$12:B63)-1</f>
        <v>51</v>
      </c>
      <c r="C63" s="6"/>
      <c r="D63" s="9"/>
      <c r="E63" s="9"/>
      <c r="F63" s="10"/>
    </row>
  </sheetData>
  <mergeCells count="6">
    <mergeCell ref="B11:B12"/>
    <mergeCell ref="C2:D2"/>
    <mergeCell ref="C3:D3"/>
    <mergeCell ref="C4:D4"/>
    <mergeCell ref="C5:D5"/>
    <mergeCell ref="C6:D6"/>
  </mergeCells>
  <conditionalFormatting sqref="F13:F53">
    <cfRule type="cellIs" dxfId="2" priority="3" stopIfTrue="1" operator="notEqual">
      <formula>$E13</formula>
    </cfRule>
  </conditionalFormatting>
  <conditionalFormatting sqref="F54:F58">
    <cfRule type="cellIs" dxfId="1" priority="2" stopIfTrue="1" operator="notEqual">
      <formula>$E54</formula>
    </cfRule>
  </conditionalFormatting>
  <conditionalFormatting sqref="F59:F63">
    <cfRule type="cellIs" dxfId="0" priority="1" stopIfTrue="1" operator="notEqual">
      <formula>$E59</formula>
    </cfRule>
  </conditionalFormatting>
  <dataValidations count="2">
    <dataValidation type="whole" allowBlank="1" showErrorMessage="1" errorTitle="Hey, Genius!" error="Positive whole numbers only!" sqref="E13:E63">
      <formula1>0</formula1>
      <formula2>1000000000000000</formula2>
    </dataValidation>
    <dataValidation type="decimal" operator="greaterThanOrEqual" allowBlank="1" showInputMessage="1" showErrorMessage="1" errorTitle="Hey, Genius!" error="Kerf must be non-negative" sqref="E2:E3">
      <formula1>0</formula1>
    </dataValidation>
  </dataValidations>
  <pageMargins left="0.5" right="0.5" top="0.5" bottom="0.5" header="0.5" footer="0.5"/>
  <pageSetup orientation="portrait" horizontalDpi="1200" verticalDpi="12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Material</vt:lpstr>
      <vt:lpstr>Material!Me</vt:lpstr>
      <vt:lpstr>Material!Print_Area</vt:lpstr>
      <vt:lpstr>Material!Print_Titles</vt:lpstr>
      <vt:lpstr>Material!ptrKerf</vt:lpstr>
      <vt:lpstr>Material!ptrStk</vt:lpstr>
      <vt:lpstr>Material!ptrUsed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shg</dc:creator>
  <cp:lastModifiedBy>Rob</cp:lastModifiedBy>
  <cp:lastPrinted>2014-07-17T14:32:21Z</cp:lastPrinted>
  <dcterms:created xsi:type="dcterms:W3CDTF">2005-11-16T00:23:18Z</dcterms:created>
  <dcterms:modified xsi:type="dcterms:W3CDTF">2018-03-06T14:04:34Z</dcterms:modified>
</cp:coreProperties>
</file>